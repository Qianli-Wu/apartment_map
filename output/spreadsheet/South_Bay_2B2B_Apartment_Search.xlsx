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s" sheetId="1" state="visible" r:id="rId1"/>
    <sheet name="Seed Sources" sheetId="2" state="visible" r:id="rId2"/>
    <sheet name="Search Queue" sheetId="3" state="visible" r:id="rId3"/>
    <sheet name="Intake" sheetId="4" state="visible" r:id="rId4"/>
    <sheet name="Candidates" sheetId="5" state="visible" r:id="rId5"/>
    <sheet name="Audit Log" sheetId="6" state="visible" r:id="rId6"/>
    <sheet name="Workbook Info" sheetId="7" state="visible" r:id="rId7"/>
  </sheets>
  <definedNames>
    <definedName name="_xlnm._FilterDatabase" localSheetId="0" hidden="1">'Controls'!$A$1:$E$14</definedName>
    <definedName name="_xlnm._FilterDatabase" localSheetId="1" hidden="1">'Seed Sources'!$A$1:$J$5</definedName>
    <definedName name="_xlnm._FilterDatabase" localSheetId="2" hidden="1">'Search Queue'!$A$1:$K$5</definedName>
    <definedName name="_xlnm._FilterDatabase" localSheetId="3" hidden="1">'Intake'!$A$1:$AG$5</definedName>
    <definedName name="_xlnm._FilterDatabase" localSheetId="4" hidden="1">'Candidates'!$A$1:$AM$5</definedName>
    <definedName name="_xlnm._FilterDatabase" localSheetId="5" hidden="1">'Audit Log'!$A$1:$G$13</definedName>
    <definedName name="_xlnm._FilterDatabase" localSheetId="6" hidden="1">'Workbook Info'!$A$1:$B$5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 hh:mm"/>
    <numFmt numFmtId="165" formatCode="yyyy-mm-dd h:mm:ss"/>
    <numFmt numFmtId="166" formatCode="yyyy-mm-dd"/>
    <numFmt numFmtId="167" formatCode="$#,##0.00"/>
    <numFmt numFmtId="168" formatCode="0.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E8F2FB"/>
      </patternFill>
    </fill>
    <fill>
      <patternFill patternType="solid">
        <fgColor rgb="002F5D7E"/>
      </patternFill>
    </fill>
    <fill>
      <patternFill patternType="solid">
        <fgColor rgb="00F3F4F6"/>
      </patternFill>
    </fill>
    <fill>
      <patternFill patternType="solid">
        <fgColor rgb="00EDF7F2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1" fillId="4" borderId="0" pivotButton="0" quotePrefix="0" xfId="0"/>
    <xf numFmtId="0" fontId="0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6" fontId="0" fillId="5" borderId="0" pivotButton="0" quotePrefix="0" xfId="0"/>
    <xf numFmtId="164" fontId="0" fillId="5" borderId="0" pivotButton="0" quotePrefix="0" xfId="0"/>
    <xf numFmtId="0" fontId="2" fillId="3" borderId="1" applyAlignment="1" pivotButton="0" quotePrefix="0" xfId="0">
      <alignment vertical="top" wrapText="1"/>
    </xf>
    <xf numFmtId="166" fontId="0" fillId="0" borderId="1" applyAlignment="1" pivotButton="0" quotePrefix="0" xfId="0">
      <alignment vertical="top" wrapText="1"/>
    </xf>
    <xf numFmtId="167" fontId="0" fillId="0" borderId="1" applyAlignment="1" pivotButton="0" quotePrefix="0" xfId="0">
      <alignment vertical="top" wrapText="1"/>
    </xf>
    <xf numFmtId="168" fontId="0" fillId="0" borderId="1" applyAlignment="1" pivotButton="0" quotePrefix="0" xfId="0">
      <alignment vertical="top" wrapText="1"/>
    </xf>
    <xf numFmtId="1" fontId="0" fillId="0" borderId="1" applyAlignment="1" pivotButton="0" quotePrefix="0" xfId="0">
      <alignment vertical="top" wrapText="1"/>
    </xf>
    <xf numFmtId="165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167" fontId="0" fillId="5" borderId="1" applyAlignment="1" pivotButton="0" quotePrefix="0" xfId="0">
      <alignment vertical="top" wrapText="1"/>
    </xf>
    <xf numFmtId="2" fontId="0" fillId="5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62" customWidth="1" min="3" max="3"/>
    <col width="22" customWidth="1" min="5" max="5"/>
    <col width="64" customWidth="1" min="6" max="6"/>
  </cols>
  <sheetData>
    <row r="1">
      <c r="A1" s="1" t="inlineStr">
        <is>
          <t>Setting</t>
        </is>
      </c>
      <c r="B1" s="1" t="inlineStr">
        <is>
          <t>Value</t>
        </is>
      </c>
      <c r="C1" s="1" t="inlineStr">
        <is>
          <t>Description</t>
        </is>
      </c>
      <c r="D1" s="1" t="n"/>
      <c r="E1" s="1" t="n"/>
    </row>
    <row r="2">
      <c r="A2" s="2" t="inlineStr">
        <is>
          <t>Budget Min</t>
        </is>
      </c>
      <c r="B2" s="3" t="n">
        <v>3500</v>
      </c>
      <c r="C2" t="inlineStr">
        <is>
          <t>Lower bound for target net monthly rent per 2B2B unit.</t>
        </is>
      </c>
      <c r="E2" s="4" t="inlineStr">
        <is>
          <t>Tracker Notes</t>
        </is>
      </c>
    </row>
    <row r="3">
      <c r="A3" s="2" t="inlineStr">
        <is>
          <t>Budget Max</t>
        </is>
      </c>
      <c r="B3" s="3" t="n">
        <v>6000</v>
      </c>
      <c r="C3" t="inlineStr">
        <is>
          <t>Upper bound for target net monthly rent per 2B2B unit.</t>
        </is>
      </c>
      <c r="E3" s="5" t="inlineStr">
        <is>
          <t>Use the Controls tab to tune budget and scoring before sorting the Candidates tab.</t>
        </is>
      </c>
    </row>
    <row r="4">
      <c r="A4" s="2" t="inlineStr">
        <is>
          <t>Max Walk Minutes</t>
        </is>
      </c>
      <c r="B4" s="3" t="n">
        <v>25</v>
      </c>
      <c r="C4" t="inlineStr">
        <is>
          <t>Preferred maximum walk to Caltrain unless a documented shuttle exists.</t>
        </is>
      </c>
      <c r="E4" s="5" t="inlineStr">
        <is>
          <t>Rows older than the stale window should be reviewed before touring or applying.</t>
        </is>
      </c>
    </row>
    <row r="5">
      <c r="A5" s="2" t="inlineStr">
        <is>
          <t>Min Review Score</t>
        </is>
      </c>
      <c r="B5" s="3" t="n">
        <v>3.5</v>
      </c>
      <c r="C5" t="inlineStr">
        <is>
          <t>Baseline review score target before ranking penalty.</t>
        </is>
      </c>
      <c r="E5" s="5" t="inlineStr">
        <is>
          <t>Priority Score is a weighted score out of 100 based on cost, transit, reviews, size, and freshness.</t>
        </is>
      </c>
    </row>
    <row r="6">
      <c r="A6" s="2" t="inlineStr">
        <is>
          <t>Weight Net Cost</t>
        </is>
      </c>
      <c r="B6" s="3" t="n">
        <v>35</v>
      </c>
      <c r="C6" t="inlineStr">
        <is>
          <t>Priority score weight for net monthly cost.</t>
        </is>
      </c>
    </row>
    <row r="7">
      <c r="A7" s="2" t="inlineStr">
        <is>
          <t>Weight Transit</t>
        </is>
      </c>
      <c r="B7" s="3" t="n">
        <v>25</v>
      </c>
      <c r="C7" t="inlineStr">
        <is>
          <t>Priority score weight for Caltrain access.</t>
        </is>
      </c>
    </row>
    <row r="8">
      <c r="A8" s="2" t="inlineStr">
        <is>
          <t>Weight Reviews</t>
        </is>
      </c>
      <c r="B8" s="3" t="n">
        <v>20</v>
      </c>
      <c r="C8" t="inlineStr">
        <is>
          <t>Priority score weight for review quality.</t>
        </is>
      </c>
    </row>
    <row r="9">
      <c r="A9" s="2" t="inlineStr">
        <is>
          <t>Weight SqFt</t>
        </is>
      </c>
      <c r="B9" s="3" t="n">
        <v>10</v>
      </c>
      <c r="C9" t="inlineStr">
        <is>
          <t>Priority score weight for size.</t>
        </is>
      </c>
    </row>
    <row r="10">
      <c r="A10" s="2" t="inlineStr">
        <is>
          <t>Weight Freshness</t>
        </is>
      </c>
      <c r="B10" s="3" t="n">
        <v>10</v>
      </c>
      <c r="C10" t="inlineStr">
        <is>
          <t>Priority score weight for verification freshness.</t>
        </is>
      </c>
    </row>
    <row r="11">
      <c r="A11" s="2" t="inlineStr">
        <is>
          <t>Stale After Hours</t>
        </is>
      </c>
      <c r="B11" s="3" t="n">
        <v>72</v>
      </c>
      <c r="C11" t="inlineStr">
        <is>
          <t>Rows older than this are marked stale by the Apps Script.</t>
        </is>
      </c>
    </row>
    <row r="12">
      <c r="A12" s="2" t="inlineStr">
        <is>
          <t>Decision Window Days</t>
        </is>
      </c>
      <c r="B12" s="3" t="n">
        <v>7</v>
      </c>
      <c r="C12" t="inlineStr">
        <is>
          <t>Rows older than this should fall out of the active shortlist.</t>
        </is>
      </c>
    </row>
    <row r="13">
      <c r="A13" s="2" t="inlineStr">
        <is>
          <t>Default Lease Term</t>
        </is>
      </c>
      <c r="B13" s="3" t="n">
        <v>12</v>
      </c>
      <c r="C13" t="inlineStr">
        <is>
          <t>Fallback term for discount normalization when no term is listed.</t>
        </is>
      </c>
    </row>
    <row r="14">
      <c r="A14" s="2" t="inlineStr">
        <is>
          <t>Default Researcher</t>
        </is>
      </c>
      <c r="B14" s="3" t="inlineStr">
        <is>
          <t>Codex</t>
        </is>
      </c>
      <c r="C14" t="inlineStr">
        <is>
          <t>Default owner/researcher name for automated entries.</t>
        </is>
      </c>
    </row>
    <row r="15">
      <c r="A15" s="2" t="inlineStr">
        <is>
          <t>Today</t>
        </is>
      </c>
      <c r="B15" s="6">
        <f>TODAY()</f>
        <v/>
      </c>
      <c r="C15" t="inlineStr">
        <is>
          <t>Workbook formula value.</t>
        </is>
      </c>
    </row>
    <row r="16">
      <c r="A16" s="2" t="inlineStr">
        <is>
          <t>Now</t>
        </is>
      </c>
      <c r="B16" s="7">
        <f>NOW()</f>
        <v/>
      </c>
      <c r="C16" t="inlineStr">
        <is>
          <t>Workbook formula value.</t>
        </is>
      </c>
    </row>
  </sheetData>
  <autoFilter ref="A1:E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6" customWidth="1" min="2" max="2"/>
    <col width="20" customWidth="1" min="3" max="3"/>
    <col width="14" customWidth="1" min="4" max="4"/>
    <col width="34" customWidth="1" min="5" max="5"/>
    <col width="18" customWidth="1" min="6" max="6"/>
    <col width="28" customWidth="1" min="7" max="7"/>
    <col width="30" customWidth="1" min="8" max="8"/>
    <col width="30" customWidth="1" min="9" max="9"/>
    <col width="16" customWidth="1" min="10" max="10"/>
  </cols>
  <sheetData>
    <row r="1">
      <c r="A1" s="8" t="inlineStr">
        <is>
          <t>Source Type</t>
        </is>
      </c>
      <c r="B1" s="8" t="inlineStr">
        <is>
          <t>Source File/URL</t>
        </is>
      </c>
      <c r="C1" s="8" t="inlineStr">
        <is>
          <t>Property Name</t>
        </is>
      </c>
      <c r="D1" s="8" t="inlineStr">
        <is>
          <t>City</t>
        </is>
      </c>
      <c r="E1" s="8" t="inlineStr">
        <is>
          <t>Address</t>
        </is>
      </c>
      <c r="F1" s="8" t="inlineStr">
        <is>
          <t>Claimed Rent</t>
        </is>
      </c>
      <c r="G1" s="8" t="inlineStr">
        <is>
          <t>Claimed Promo</t>
        </is>
      </c>
      <c r="H1" s="8" t="inlineStr">
        <is>
          <t>Claimed Transit Note</t>
        </is>
      </c>
      <c r="I1" s="8" t="inlineStr">
        <is>
          <t>Claimed Review Note</t>
        </is>
      </c>
      <c r="J1" s="8" t="inlineStr">
        <is>
          <t>Needs Verification</t>
        </is>
      </c>
    </row>
    <row r="2">
      <c r="A2" s="5" t="inlineStr">
        <is>
          <t>PDF_CURATED</t>
        </is>
      </c>
      <c r="B2" s="5" t="inlineStr">
        <is>
          <t>/Users/qianli/Downloads/2BD_2BA_Apartment_Recommendations_Near_Palo_Alto.pdf</t>
        </is>
      </c>
      <c r="C2" s="5" t="inlineStr">
        <is>
          <t>Palo Alto Place</t>
        </is>
      </c>
      <c r="D2" s="5" t="inlineStr">
        <is>
          <t>Palo Alto</t>
        </is>
      </c>
      <c r="E2" s="5" t="inlineStr">
        <is>
          <t>565 Arastradero Rd, Palo Alto, CA 94306</t>
        </is>
      </c>
      <c r="F2" s="5" t="inlineStr">
        <is>
          <t>~$5,500-$5,640/mo</t>
        </is>
      </c>
      <c r="G2" s="5" t="inlineStr">
        <is>
          <t>1 month free</t>
        </is>
      </c>
      <c r="H2" s="5" t="inlineStr">
        <is>
          <t>Not within walking distance to Caltrain (~2 miles)</t>
        </is>
      </c>
      <c r="I2" s="5" t="inlineStr">
        <is>
          <t>Highly positive resident reviews</t>
        </is>
      </c>
      <c r="J2" s="5" t="inlineStr">
        <is>
          <t>No</t>
        </is>
      </c>
    </row>
    <row r="3">
      <c r="A3" s="5" t="inlineStr">
        <is>
          <t>PDF_CURATED</t>
        </is>
      </c>
      <c r="B3" s="5" t="inlineStr">
        <is>
          <t>/Users/qianli/Downloads/2BD_2BA_Apartment_Recommendations_Near_Palo_Alto.pdf</t>
        </is>
      </c>
      <c r="C3" s="5" t="inlineStr">
        <is>
          <t>Sevens</t>
        </is>
      </c>
      <c r="D3" s="5" t="inlineStr">
        <is>
          <t>Mountain View</t>
        </is>
      </c>
      <c r="E3" s="5" t="inlineStr">
        <is>
          <t>777 W Middlefield Rd, Mountain View, CA 94043</t>
        </is>
      </c>
      <c r="F3" s="5" t="inlineStr">
        <is>
          <t>~$5,628/mo</t>
        </is>
      </c>
      <c r="G3" s="5" t="inlineStr">
        <is>
          <t>Up to 8 weeks free base rent</t>
        </is>
      </c>
      <c r="H3" s="5" t="inlineStr">
        <is>
          <t>Close to Caltrain (~0.5 miles)</t>
        </is>
      </c>
      <c r="I3" s="5" t="inlineStr">
        <is>
          <t>Inconsistent maintenance reviews</t>
        </is>
      </c>
      <c r="J3" s="5" t="inlineStr">
        <is>
          <t>No</t>
        </is>
      </c>
    </row>
    <row r="4">
      <c r="A4" s="5" t="inlineStr">
        <is>
          <t>PDF_CURATED</t>
        </is>
      </c>
      <c r="B4" s="5" t="inlineStr">
        <is>
          <t>/Users/qianli/Downloads/2BD_2BA_Apartment_Recommendations_Near_Palo_Alto.pdf</t>
        </is>
      </c>
      <c r="C4" s="5" t="inlineStr">
        <is>
          <t>Landsby</t>
        </is>
      </c>
      <c r="D4" s="5" t="inlineStr">
        <is>
          <t>Mountain View</t>
        </is>
      </c>
      <c r="E4" s="5" t="inlineStr">
        <is>
          <t>2580-2590 California St, Mountain View, CA 94040</t>
        </is>
      </c>
      <c r="F4" s="5" t="inlineStr">
        <is>
          <t>~$5,400+/mo</t>
        </is>
      </c>
      <c r="G4" s="5" t="inlineStr">
        <is>
          <t>4 weeks free on immediate move-ins</t>
        </is>
      </c>
      <c r="H4" s="5" t="inlineStr">
        <is>
          <t>Very close to San Antonio Caltrain</t>
        </is>
      </c>
      <c r="I4" s="5" t="inlineStr">
        <is>
          <t>Rated 4.6/5 on Apartments.com</t>
        </is>
      </c>
      <c r="J4" s="5" t="inlineStr">
        <is>
          <t>No</t>
        </is>
      </c>
    </row>
    <row r="5">
      <c r="A5" s="5" t="inlineStr">
        <is>
          <t>PDF_CURATED</t>
        </is>
      </c>
      <c r="B5" s="5" t="inlineStr">
        <is>
          <t>/Users/qianli/Downloads/2BD_2BA_Apartment_Recommendations_Near_Palo_Alto.pdf</t>
        </is>
      </c>
      <c r="C5" s="5" t="inlineStr">
        <is>
          <t>Sofi Sunnyvale</t>
        </is>
      </c>
      <c r="D5" s="5" t="inlineStr">
        <is>
          <t>Sunnyvale</t>
        </is>
      </c>
      <c r="E5" s="5" t="inlineStr">
        <is>
          <t>963 E El Camino Real, Sunnyvale, CA 94087</t>
        </is>
      </c>
      <c r="F5" s="5" t="inlineStr">
        <is>
          <t>~$4,047-$5,358/mo</t>
        </is>
      </c>
      <c r="G5" s="5" t="inlineStr">
        <is>
          <t>30-Day Move-In Satisfaction Guarantee</t>
        </is>
      </c>
      <c r="H5" s="5" t="inlineStr">
        <is>
          <t>Not within walking distance to Caltrain</t>
        </is>
      </c>
      <c r="I5" s="5" t="inlineStr">
        <is>
          <t>Excellent staff and maintenance ratings</t>
        </is>
      </c>
      <c r="J5" s="5" t="inlineStr">
        <is>
          <t>Yes</t>
        </is>
      </c>
    </row>
  </sheetData>
  <autoFilter ref="A1:J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4" customWidth="1" min="3" max="3"/>
    <col width="16" customWidth="1" min="4" max="4"/>
    <col width="56" customWidth="1" min="5" max="5"/>
    <col width="18" customWidth="1" min="6" max="6"/>
    <col width="16" customWidth="1" min="7" max="7"/>
    <col width="16" customWidth="1" min="8" max="8"/>
    <col width="12" customWidth="1" min="9" max="9"/>
    <col width="14" customWidth="1" min="10" max="10"/>
    <col width="56" customWidth="1" min="11" max="11"/>
  </cols>
  <sheetData>
    <row r="1">
      <c r="A1" s="8" t="inlineStr">
        <is>
          <t>Priority</t>
        </is>
      </c>
      <c r="B1" s="8" t="inlineStr">
        <is>
          <t>Property Name</t>
        </is>
      </c>
      <c r="C1" s="8" t="inlineStr">
        <is>
          <t>City</t>
        </is>
      </c>
      <c r="D1" s="8" t="inlineStr">
        <is>
          <t>Source Type</t>
        </is>
      </c>
      <c r="E1" s="8" t="inlineStr">
        <is>
          <t>Search Task</t>
        </is>
      </c>
      <c r="F1" s="8" t="inlineStr">
        <is>
          <t>Official URL Found</t>
        </is>
      </c>
      <c r="G1" s="8" t="inlineStr">
        <is>
          <t>Transit Check Done</t>
        </is>
      </c>
      <c r="H1" s="8" t="inlineStr">
        <is>
          <t>Review Check Done</t>
        </is>
      </c>
      <c r="I1" s="8" t="inlineStr">
        <is>
          <t>Owner</t>
        </is>
      </c>
      <c r="J1" s="8" t="inlineStr">
        <is>
          <t>Queue Status</t>
        </is>
      </c>
      <c r="K1" s="8" t="inlineStr">
        <is>
          <t>Notes</t>
        </is>
      </c>
    </row>
    <row r="2">
      <c r="A2" s="5" t="inlineStr">
        <is>
          <t>P1</t>
        </is>
      </c>
      <c r="B2" s="5" t="inlineStr">
        <is>
          <t>Palo Alto Place</t>
        </is>
      </c>
      <c r="C2" s="5" t="inlineStr">
        <is>
          <t>Palo Alto</t>
        </is>
      </c>
      <c r="D2" s="5" t="inlineStr">
        <is>
          <t>PDF_CURATED</t>
        </is>
      </c>
      <c r="E2" s="5" t="inlineStr">
        <is>
          <t>Confirm live 2B/2B pricing, apply promo normalization, and verify Caltrain walk time versus California Ave or San Antonio.</t>
        </is>
      </c>
      <c r="F2" s="5" t="inlineStr">
        <is>
          <t>Yes</t>
        </is>
      </c>
      <c r="G2" s="5" t="inlineStr">
        <is>
          <t>Yes</t>
        </is>
      </c>
      <c r="H2" s="5" t="inlineStr">
        <is>
          <t>Yes</t>
        </is>
      </c>
      <c r="I2" s="5" t="inlineStr">
        <is>
          <t>Codex</t>
        </is>
      </c>
      <c r="J2" s="5" t="inlineStr">
        <is>
          <t>Completed</t>
        </is>
      </c>
      <c r="K2" s="5" t="inlineStr">
        <is>
          <t>Official Plan C is live; property fails the Caltrain walk threshold and remains in the sheet as a rejected anchor.</t>
        </is>
      </c>
    </row>
    <row r="3">
      <c r="A3" s="5" t="inlineStr">
        <is>
          <t>P1</t>
        </is>
      </c>
      <c r="B3" s="5" t="inlineStr">
        <is>
          <t>Sevens</t>
        </is>
      </c>
      <c r="C3" s="5" t="inlineStr">
        <is>
          <t>Mountain View</t>
        </is>
      </c>
      <c r="D3" s="5" t="inlineStr">
        <is>
          <t>PDF_CURATED</t>
        </is>
      </c>
      <c r="E3" s="5" t="inlineStr">
        <is>
          <t>Verify the best live 2B/2B floorplan, normalize the 8-week concession, and reconcile the conflicting Caltrain distance claims on the official site.</t>
        </is>
      </c>
      <c r="F3" s="5" t="inlineStr">
        <is>
          <t>Yes</t>
        </is>
      </c>
      <c r="G3" s="5" t="inlineStr">
        <is>
          <t>Yes</t>
        </is>
      </c>
      <c r="H3" s="5" t="inlineStr">
        <is>
          <t>Yes</t>
        </is>
      </c>
      <c r="I3" s="5" t="inlineStr">
        <is>
          <t>Codex</t>
        </is>
      </c>
      <c r="J3" s="5" t="inlineStr">
        <is>
          <t>Completed</t>
        </is>
      </c>
      <c r="K3" s="5" t="inlineStr">
        <is>
          <t>Official price captured from live B2 floorplan page. Transit needs a quick Google Maps sanity check before touring.</t>
        </is>
      </c>
    </row>
    <row r="4">
      <c r="A4" s="5" t="inlineStr">
        <is>
          <t>P1</t>
        </is>
      </c>
      <c r="B4" s="5" t="inlineStr">
        <is>
          <t>Landsby</t>
        </is>
      </c>
      <c r="C4" s="5" t="inlineStr">
        <is>
          <t>Mountain View</t>
        </is>
      </c>
      <c r="D4" s="5" t="inlineStr">
        <is>
          <t>PDF_CURATED</t>
        </is>
      </c>
      <c r="E4" s="5" t="inlineStr">
        <is>
          <t>Verify the lowest current 2B/2B floorplan, confirm the current address used by the leasing site, and preserve the PDF address as historical context.</t>
        </is>
      </c>
      <c r="F4" s="5" t="inlineStr">
        <is>
          <t>Yes</t>
        </is>
      </c>
      <c r="G4" s="5" t="inlineStr">
        <is>
          <t>Yes</t>
        </is>
      </c>
      <c r="H4" s="5" t="inlineStr">
        <is>
          <t>Yes</t>
        </is>
      </c>
      <c r="I4" s="5" t="inlineStr">
        <is>
          <t>Codex</t>
        </is>
      </c>
      <c r="J4" s="5" t="inlineStr">
        <is>
          <t>Completed</t>
        </is>
      </c>
      <c r="K4" s="5" t="inlineStr">
        <is>
          <t>Official leasing site now uses 100 Aspen Way, while older directories and the PDF still show 2580-2590 California St.</t>
        </is>
      </c>
    </row>
    <row r="5">
      <c r="A5" s="5" t="inlineStr">
        <is>
          <t>P1</t>
        </is>
      </c>
      <c r="B5" s="5" t="inlineStr">
        <is>
          <t>Sofi Sunnyvale</t>
        </is>
      </c>
      <c r="C5" s="5" t="inlineStr">
        <is>
          <t>Sunnyvale</t>
        </is>
      </c>
      <c r="D5" s="5" t="inlineStr">
        <is>
          <t>PDF_CURATED</t>
        </is>
      </c>
      <c r="E5" s="5" t="inlineStr">
        <is>
          <t>Confirm live 2B/2B pricing directly on the leasing flow, normalize any free-rent offer, and verify Lawrence Caltrain walkability before shortlisting.</t>
        </is>
      </c>
      <c r="F5" s="5" t="inlineStr">
        <is>
          <t>Yes</t>
        </is>
      </c>
      <c r="G5" s="5" t="inlineStr">
        <is>
          <t>Partial</t>
        </is>
      </c>
      <c r="H5" s="5" t="inlineStr">
        <is>
          <t>Yes</t>
        </is>
      </c>
      <c r="I5" s="5" t="inlineStr">
        <is>
          <t>Codex</t>
        </is>
      </c>
      <c r="J5" s="5" t="inlineStr">
        <is>
          <t>Partial</t>
        </is>
      </c>
      <c r="K5" s="5" t="inlineStr">
        <is>
          <t>Official site confirms 2-bedroom inventory but the crawled page did not expose live 2B pricing. Third-party listing data is stored as a watchlist input only.</t>
        </is>
      </c>
    </row>
  </sheetData>
  <autoFilter ref="A1:K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0" customWidth="1" min="3" max="3"/>
    <col width="20" customWidth="1" min="4" max="4"/>
    <col width="14" customWidth="1" min="5" max="5"/>
    <col width="34" customWidth="1" min="6" max="6"/>
    <col width="16" customWidth="1" min="7" max="7"/>
    <col width="8" customWidth="1" min="8" max="8"/>
    <col width="8" customWidth="1" min="9" max="9"/>
    <col width="10" customWidth="1" min="10" max="10"/>
    <col width="12" customWidth="1" min="11" max="11"/>
    <col width="14" customWidth="1" min="12" max="12"/>
    <col width="32" customWidth="1" min="13" max="13"/>
    <col width="12" customWidth="1" min="14" max="14"/>
    <col width="14" customWidth="1" min="15" max="15"/>
    <col width="14" customWidth="1" min="16" max="16"/>
    <col width="16" customWidth="1" min="17" max="17"/>
    <col width="12" customWidth="1" min="18" max="18"/>
    <col width="12" customWidth="1" min="19" max="19"/>
    <col width="10" customWidth="1" min="20" max="20"/>
    <col width="11" customWidth="1" min="21" max="21"/>
    <col width="12" customWidth="1" min="22" max="22"/>
    <col width="18" customWidth="1" min="23" max="23"/>
    <col width="48" customWidth="1" min="24" max="24"/>
    <col width="24" customWidth="1" min="25" max="25"/>
    <col width="24" customWidth="1" min="26" max="26"/>
    <col width="24" customWidth="1" min="27" max="27"/>
    <col width="24" customWidth="1" min="28" max="28"/>
    <col width="15" customWidth="1" min="29" max="29"/>
    <col width="18" customWidth="1" min="30" max="30"/>
    <col width="12" customWidth="1" min="31" max="31"/>
    <col width="18" customWidth="1" min="32" max="32"/>
    <col width="48" customWidth="1" min="33" max="33"/>
  </cols>
  <sheetData>
    <row r="1">
      <c r="A1" s="8" t="inlineStr">
        <is>
          <t>Research Date</t>
        </is>
      </c>
      <c r="B1" s="8" t="inlineStr">
        <is>
          <t>Researcher</t>
        </is>
      </c>
      <c r="C1" s="8" t="inlineStr">
        <is>
          <t>Property Type</t>
        </is>
      </c>
      <c r="D1" s="8" t="inlineStr">
        <is>
          <t>Apartment Name</t>
        </is>
      </c>
      <c r="E1" s="8" t="inlineStr">
        <is>
          <t>City</t>
        </is>
      </c>
      <c r="F1" s="8" t="inlineStr">
        <is>
          <t>Address</t>
        </is>
      </c>
      <c r="G1" s="8" t="inlineStr">
        <is>
          <t>Unit/Floorplan</t>
        </is>
      </c>
      <c r="H1" s="8" t="inlineStr">
        <is>
          <t>Beds</t>
        </is>
      </c>
      <c r="I1" s="8" t="inlineStr">
        <is>
          <t>Baths</t>
        </is>
      </c>
      <c r="J1" s="8" t="inlineStr">
        <is>
          <t>Sq Ft</t>
        </is>
      </c>
      <c r="K1" s="8" t="inlineStr">
        <is>
          <t>Listed Rent</t>
        </is>
      </c>
      <c r="L1" s="8" t="inlineStr">
        <is>
          <t>Required Fees/mo</t>
        </is>
      </c>
      <c r="M1" s="8" t="inlineStr">
        <is>
          <t>Promo Raw</t>
        </is>
      </c>
      <c r="N1" s="8" t="inlineStr">
        <is>
          <t>Lease Term Mo</t>
        </is>
      </c>
      <c r="O1" s="8" t="inlineStr">
        <is>
          <t>Discount Est/mo</t>
        </is>
      </c>
      <c r="P1" s="8" t="inlineStr">
        <is>
          <t>Availability Date</t>
        </is>
      </c>
      <c r="Q1" s="8" t="inlineStr">
        <is>
          <t>Closest Station</t>
        </is>
      </c>
      <c r="R1" s="8" t="inlineStr">
        <is>
          <t>Walk Distance Mi</t>
        </is>
      </c>
      <c r="S1" s="8" t="inlineStr">
        <is>
          <t>Walk Time Min</t>
        </is>
      </c>
      <c r="T1" s="8" t="inlineStr">
        <is>
          <t>Shuttle</t>
        </is>
      </c>
      <c r="U1" s="8" t="inlineStr">
        <is>
          <t>Review Score</t>
        </is>
      </c>
      <c r="V1" s="8" t="inlineStr">
        <is>
          <t>Review Count</t>
        </is>
      </c>
      <c r="W1" s="8" t="inlineStr">
        <is>
          <t>Review Source</t>
        </is>
      </c>
      <c r="X1" s="8" t="inlineStr">
        <is>
          <t>Review Summary</t>
        </is>
      </c>
      <c r="Y1" s="8" t="inlineStr">
        <is>
          <t>Official URL</t>
        </is>
      </c>
      <c r="Z1" s="8" t="inlineStr">
        <is>
          <t>Listing URL</t>
        </is>
      </c>
      <c r="AA1" s="8" t="inlineStr">
        <is>
          <t>Transit URL</t>
        </is>
      </c>
      <c r="AB1" s="8" t="inlineStr">
        <is>
          <t>Review URL</t>
        </is>
      </c>
      <c r="AC1" s="8" t="inlineStr">
        <is>
          <t>Source Type</t>
        </is>
      </c>
      <c r="AD1" s="8" t="inlineStr">
        <is>
          <t>Verification Tier</t>
        </is>
      </c>
      <c r="AE1" s="8" t="inlineStr">
        <is>
          <t>Status</t>
        </is>
      </c>
      <c r="AF1" s="8" t="inlineStr">
        <is>
          <t>Last Verified At</t>
        </is>
      </c>
      <c r="AG1" s="8" t="inlineStr">
        <is>
          <t>Notes</t>
        </is>
      </c>
    </row>
    <row r="2">
      <c r="A2" s="9" t="n">
        <v>46098</v>
      </c>
      <c r="B2" s="5" t="inlineStr">
        <is>
          <t>Codex</t>
        </is>
      </c>
      <c r="C2" s="5" t="inlineStr">
        <is>
          <t>Apartment Community</t>
        </is>
      </c>
      <c r="D2" s="5" t="inlineStr">
        <is>
          <t>Palo Alto Place</t>
        </is>
      </c>
      <c r="E2" s="5" t="inlineStr">
        <is>
          <t>Palo Alto</t>
        </is>
      </c>
      <c r="F2" s="5" t="inlineStr">
        <is>
          <t>565 Arastradero Road, Palo Alto, CA 94306</t>
        </is>
      </c>
      <c r="G2" s="5" t="inlineStr">
        <is>
          <t>Plan C</t>
        </is>
      </c>
      <c r="H2" s="5" t="n">
        <v>2</v>
      </c>
      <c r="I2" s="5" t="n">
        <v>2</v>
      </c>
      <c r="J2" s="5" t="n">
        <v>1419</v>
      </c>
      <c r="K2" s="10" t="n">
        <v>5600</v>
      </c>
      <c r="L2" s="10" t="n">
        <v>0</v>
      </c>
      <c r="M2" s="5" t="inlineStr">
        <is>
          <t>2-Weeks free on unit 115; 1-Month free on all other units. Restrictions apply.</t>
        </is>
      </c>
      <c r="N2" s="5" t="n">
        <v>12</v>
      </c>
      <c r="O2" s="10" t="n">
        <v>466.67</v>
      </c>
      <c r="P2" s="9" t="n">
        <v>46083</v>
      </c>
      <c r="Q2" s="5" t="inlineStr">
        <is>
          <t>California Avenue</t>
        </is>
      </c>
      <c r="R2" s="11" t="n">
        <v>2.1</v>
      </c>
      <c r="S2" s="11" t="n">
        <v>46</v>
      </c>
      <c r="T2" s="5" t="inlineStr">
        <is>
          <t>No</t>
        </is>
      </c>
      <c r="U2" s="11" t="n">
        <v>3.5</v>
      </c>
      <c r="V2" s="12" t="n">
        <v>19</v>
      </c>
      <c r="W2" s="5" t="inlineStr">
        <is>
          <t>Yelp via Yahoo Local</t>
        </is>
      </c>
      <c r="X2" s="5" t="inlineStr">
        <is>
          <t>Residents praise spacious 2B/2B layouts and responsive maintenance, but repeated complaints mention package theft, break-ins, and inconsistent security follow-through.</t>
        </is>
      </c>
      <c r="Y2" s="5" t="inlineStr">
        <is>
          <t>https://www.paloaltoplace.com/floorplans</t>
        </is>
      </c>
      <c r="Z2" s="5" t="inlineStr">
        <is>
          <t>https://www.apartments.com/565-arastradero-rd-palo-alto-ca-unit-fl3-id275/ggs555x/</t>
        </is>
      </c>
      <c r="AA2" s="5" t="inlineStr">
        <is>
          <t>https://www.apartments.com/565-arastradero-rd-palo-alto-ca-unit-fl3-id275/ggs555x/</t>
        </is>
      </c>
      <c r="AB2" s="5" t="inlineStr">
        <is>
          <t>https://local.yahoo.com/info-198657723-palo-alto-place-palo-alto/</t>
        </is>
      </c>
      <c r="AC2" s="5" t="inlineStr">
        <is>
          <t>PDF_CURATED</t>
        </is>
      </c>
      <c r="AD2" s="5" t="inlineStr">
        <is>
          <t>T1_OFFICIAL</t>
        </is>
      </c>
      <c r="AE2" s="5" t="inlineStr">
        <is>
          <t>REJECTED</t>
        </is>
      </c>
      <c r="AF2" s="13" t="n">
        <v>46098.73611111111</v>
      </c>
      <c r="AG2" s="5" t="inlineStr">
        <is>
          <t>Transit timing is inferred from the 2.1-mile commuter-rail distance cited by Apartments.com. Official site verifies the floorplan, price, address, and concession.</t>
        </is>
      </c>
    </row>
    <row r="3">
      <c r="A3" s="9" t="n">
        <v>46098</v>
      </c>
      <c r="B3" s="5" t="inlineStr">
        <is>
          <t>Codex</t>
        </is>
      </c>
      <c r="C3" s="5" t="inlineStr">
        <is>
          <t>Apartment Community</t>
        </is>
      </c>
      <c r="D3" s="5" t="inlineStr">
        <is>
          <t>Sevens</t>
        </is>
      </c>
      <c r="E3" s="5" t="inlineStr">
        <is>
          <t>Mountain View</t>
        </is>
      </c>
      <c r="F3" s="5" t="inlineStr">
        <is>
          <t>777 W. Middlefield Rd, Mountain View, CA 94043</t>
        </is>
      </c>
      <c r="G3" s="5" t="inlineStr">
        <is>
          <t>B2</t>
        </is>
      </c>
      <c r="H3" s="5" t="n">
        <v>2</v>
      </c>
      <c r="I3" s="5" t="n">
        <v>2</v>
      </c>
      <c r="J3" s="5" t="n">
        <v>1020</v>
      </c>
      <c r="K3" s="10" t="n">
        <v>5703</v>
      </c>
      <c r="L3" s="10" t="n">
        <v>29.88</v>
      </c>
      <c r="M3" s="5" t="inlineStr">
        <is>
          <t>Up to 8 Weeks Free Base Rent. Minimum lease term applies.</t>
        </is>
      </c>
      <c r="N3" s="5" t="n">
        <v>15</v>
      </c>
      <c r="O3" s="10" t="n">
        <v>760.4</v>
      </c>
      <c r="P3" s="5" t="inlineStr">
        <is>
          <t>Available now</t>
        </is>
      </c>
      <c r="Q3" s="5" t="inlineStr">
        <is>
          <t>Mountain View</t>
        </is>
      </c>
      <c r="R3" s="11" t="inlineStr"/>
      <c r="S3" s="11" t="n">
        <v>15</v>
      </c>
      <c r="T3" s="5" t="inlineStr">
        <is>
          <t>No</t>
        </is>
      </c>
      <c r="U3" s="11" t="n">
        <v>4</v>
      </c>
      <c r="V3" s="12" t="n">
        <v>5</v>
      </c>
      <c r="W3" s="5" t="inlineStr">
        <is>
          <t>Yelp via MapQuest</t>
        </is>
      </c>
      <c r="X3" s="5" t="inlineStr">
        <is>
          <t>Early residents praise the brand-new amenities and service, but the review base is still small and includes at least one complaint about dismissive maintenance handling.</t>
        </is>
      </c>
      <c r="Y3" s="5" t="inlineStr">
        <is>
          <t>https://sevensmv.com/floorplans/b2/</t>
        </is>
      </c>
      <c r="Z3" s="5" t="inlineStr">
        <is>
          <t>https://www.zillow.com/apartments/mountain-view-ca/sevens/5XjLXT/</t>
        </is>
      </c>
      <c r="AA3" s="5" t="inlineStr">
        <is>
          <t>https://sevensmv.com/p/transportation/</t>
        </is>
      </c>
      <c r="AB3" s="5" t="inlineStr">
        <is>
          <t>https://www.mapquest.com/us/california/sevens-770418551</t>
        </is>
      </c>
      <c r="AC3" s="5" t="inlineStr">
        <is>
          <t>PDF_CURATED</t>
        </is>
      </c>
      <c r="AD3" s="5" t="inlineStr">
        <is>
          <t>T1_OFFICIAL</t>
        </is>
      </c>
      <c r="AE3" s="5" t="inlineStr">
        <is>
          <t>VERIFIED</t>
        </is>
      </c>
      <c r="AF3" s="13" t="n">
        <v>46098.73819444444</v>
      </c>
      <c r="AG3" s="5" t="inlineStr">
        <is>
          <t>Official pages conflict on Caltrain access: the amenities page markets Mountain View Caltrain as a 15-minute walk, while the transportation page lists Mountain View Station at 1.5 miles and 5 minutes by drive.</t>
        </is>
      </c>
    </row>
    <row r="4">
      <c r="A4" s="9" t="n">
        <v>46098</v>
      </c>
      <c r="B4" s="5" t="inlineStr">
        <is>
          <t>Codex</t>
        </is>
      </c>
      <c r="C4" s="5" t="inlineStr">
        <is>
          <t>Apartment Community</t>
        </is>
      </c>
      <c r="D4" s="5" t="inlineStr">
        <is>
          <t>Landsby</t>
        </is>
      </c>
      <c r="E4" s="5" t="inlineStr">
        <is>
          <t>Mountain View</t>
        </is>
      </c>
      <c r="F4" s="5" t="inlineStr">
        <is>
          <t>100 Aspen Way, Mountain View, CA 94040</t>
        </is>
      </c>
      <c r="G4" s="5" t="inlineStr">
        <is>
          <t>2A.1</t>
        </is>
      </c>
      <c r="H4" s="5" t="n">
        <v>2</v>
      </c>
      <c r="I4" s="5" t="n">
        <v>2</v>
      </c>
      <c r="J4" s="5" t="n">
        <v>1046</v>
      </c>
      <c r="K4" s="10" t="n">
        <v>5373</v>
      </c>
      <c r="L4" s="10" t="n">
        <v>114.5</v>
      </c>
      <c r="M4" s="5" t="inlineStr">
        <is>
          <t>4 WEEKS FREE. Limited time offer on all homes for immediate move-ins.</t>
        </is>
      </c>
      <c r="N4" s="5" t="n">
        <v>14</v>
      </c>
      <c r="O4" s="10" t="n">
        <v>383.79</v>
      </c>
      <c r="P4" s="5" t="inlineStr">
        <is>
          <t>Available now</t>
        </is>
      </c>
      <c r="Q4" s="5" t="inlineStr">
        <is>
          <t>San Antonio</t>
        </is>
      </c>
      <c r="R4" s="11" t="n">
        <v>0.4</v>
      </c>
      <c r="S4" s="11" t="n">
        <v>6</v>
      </c>
      <c r="T4" s="5" t="inlineStr">
        <is>
          <t>No</t>
        </is>
      </c>
      <c r="U4" s="11" t="n">
        <v>4.1</v>
      </c>
      <c r="V4" s="12" t="n">
        <v>135</v>
      </c>
      <c r="W4" s="5" t="inlineStr">
        <is>
          <t>Google via Chamber of Commerce mirror</t>
        </is>
      </c>
      <c r="X4" s="5" t="inlineStr">
        <is>
          <t>Amenity and layout feedback is strong, but recurring negative themes include package theft, elevator outages, WhiteSky internet issues, parking scarcity, and management responsiveness.</t>
        </is>
      </c>
      <c r="Y4" s="5" t="inlineStr">
        <is>
          <t>https://livelandsby.com/floorplans/2a-1/</t>
        </is>
      </c>
      <c r="Z4" s="5" t="inlineStr">
        <is>
          <t>https://www.zillow.com/apartments/mountain-view-ca/landsby/C5XT45/</t>
        </is>
      </c>
      <c r="AA4" s="5" t="inlineStr">
        <is>
          <t>https://www.apartments.com/100-aspen-way-mountain-view-ca-unit-id1313476p/84pmqh2/</t>
        </is>
      </c>
      <c r="AB4" s="5" t="inlineStr">
        <is>
          <t>https://www.chamberofcommerce.com/business-directory/california/mountain-view/apartment-rental-agency/2024000090-landsby</t>
        </is>
      </c>
      <c r="AC4" s="5" t="inlineStr">
        <is>
          <t>PDF_CURATED</t>
        </is>
      </c>
      <c r="AD4" s="5" t="inlineStr">
        <is>
          <t>T1_OFFICIAL</t>
        </is>
      </c>
      <c r="AE4" s="5" t="inlineStr">
        <is>
          <t>VERIFIED</t>
        </is>
      </c>
      <c r="AF4" s="13" t="n">
        <v>46098.74027777778</v>
      </c>
      <c r="AG4" s="5" t="inlineStr">
        <is>
          <t>The official leasing site uses 100 Aspen Way. Older directories and the PDF still reference 2580-2590 California St for the same community.</t>
        </is>
      </c>
    </row>
    <row r="5">
      <c r="A5" s="9" t="n">
        <v>46098</v>
      </c>
      <c r="B5" s="5" t="inlineStr">
        <is>
          <t>Codex</t>
        </is>
      </c>
      <c r="C5" s="5" t="inlineStr">
        <is>
          <t>Apartment Community</t>
        </is>
      </c>
      <c r="D5" s="5" t="inlineStr">
        <is>
          <t>Sofi Sunnyvale</t>
        </is>
      </c>
      <c r="E5" s="5" t="inlineStr">
        <is>
          <t>Sunnyvale</t>
        </is>
      </c>
      <c r="F5" s="5" t="inlineStr">
        <is>
          <t>963 E El Camino Real, Sunnyvale, CA 94087</t>
        </is>
      </c>
      <c r="G5" s="5" t="inlineStr">
        <is>
          <t>2B2B</t>
        </is>
      </c>
      <c r="H5" s="5" t="n">
        <v>2</v>
      </c>
      <c r="I5" s="5" t="n">
        <v>2</v>
      </c>
      <c r="J5" s="5" t="n">
        <v>950</v>
      </c>
      <c r="K5" s="10" t="n">
        <v>3499</v>
      </c>
      <c r="L5" s="10" t="n">
        <v>0</v>
      </c>
      <c r="M5" s="5" t="inlineStr">
        <is>
          <t>Receive up to one month free. Ask about the 30-Day Move-In Satisfaction Guarantee and Renter's Assurance Programs.</t>
        </is>
      </c>
      <c r="N5" s="5" t="n">
        <v>12</v>
      </c>
      <c r="O5" s="10" t="n">
        <v>291.58</v>
      </c>
      <c r="P5" s="5" t="inlineStr">
        <is>
          <t>Available now</t>
        </is>
      </c>
      <c r="Q5" s="5" t="inlineStr">
        <is>
          <t>Lawrence</t>
        </is>
      </c>
      <c r="R5" s="11" t="n">
        <v>2.7</v>
      </c>
      <c r="S5" s="11" t="inlineStr"/>
      <c r="T5" s="5" t="inlineStr">
        <is>
          <t>No</t>
        </is>
      </c>
      <c r="U5" s="11" t="n">
        <v>4</v>
      </c>
      <c r="V5" s="12" t="n">
        <v>143</v>
      </c>
      <c r="W5" s="5" t="inlineStr">
        <is>
          <t>Google via Birdeye</t>
        </is>
      </c>
      <c r="X5" s="5" t="inlineStr">
        <is>
          <t>Many residents praise maintenance quality and a quiet community feel, while negative reviews repeatedly cite lease-management issues, price increases, and weaker value relative to amenities.</t>
        </is>
      </c>
      <c r="Y5" s="5" t="inlineStr">
        <is>
          <t>https://www.sofisunnyvale.com/apartments/ca/sunnyvale/floor-plans</t>
        </is>
      </c>
      <c r="Z5" s="5" t="inlineStr">
        <is>
          <t>https://beta.realtor.com/rentals/details/963-E-El-Camino-Real_Sunnyvale_CA_94087_M28786-22693</t>
        </is>
      </c>
      <c r="AA5" s="5" t="inlineStr">
        <is>
          <t>https://www.apartments.com/es/sofi-sunnyvale-sunnyvale-ca/b8tbme9/</t>
        </is>
      </c>
      <c r="AB5" s="5" t="inlineStr">
        <is>
          <t>https://reviews.birdeye.com/sofi-sunnyvale-156747909473053</t>
        </is>
      </c>
      <c r="AC5" s="5" t="inlineStr">
        <is>
          <t>PDF_CURATED</t>
        </is>
      </c>
      <c r="AD5" s="5" t="inlineStr">
        <is>
          <t>T2_MAJOR_LISTING</t>
        </is>
      </c>
      <c r="AE5" s="5" t="inlineStr">
        <is>
          <t>WATCHLIST</t>
        </is>
      </c>
      <c r="AF5" s="13" t="n">
        <v>46098.74236111111</v>
      </c>
      <c r="AG5" s="5" t="inlineStr">
        <is>
          <t>The official leasing pages confirm one- and two-bedroom inventory but did not expose live 2B pricing in the crawled page. The listed rent comes from a third-party listing and should be confirmed directly with the leasing flow.</t>
        </is>
      </c>
    </row>
  </sheetData>
  <autoFilter ref="A1:AG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14" customWidth="1" min="4" max="4"/>
    <col width="34" customWidth="1" min="5" max="5"/>
    <col width="20" customWidth="1" min="6" max="6"/>
    <col width="16" customWidth="1" min="7" max="7"/>
    <col width="8" customWidth="1" min="8" max="8"/>
    <col width="8" customWidth="1" min="9" max="9"/>
    <col width="10" customWidth="1" min="10" max="10"/>
    <col width="12" customWidth="1" min="11" max="11"/>
    <col width="14" customWidth="1" min="12" max="12"/>
    <col width="32" customWidth="1" min="13" max="13"/>
    <col width="12" customWidth="1" min="14" max="14"/>
    <col width="14" customWidth="1" min="15" max="15"/>
    <col width="14" customWidth="1" min="16" max="16"/>
    <col width="12" customWidth="1" min="17" max="17"/>
    <col width="14" customWidth="1" min="18" max="18"/>
    <col width="16" customWidth="1" min="19" max="19"/>
    <col width="12" customWidth="1" min="20" max="20"/>
    <col width="12" customWidth="1" min="21" max="21"/>
    <col width="10" customWidth="1" min="22" max="22"/>
    <col width="11" customWidth="1" min="23" max="23"/>
    <col width="12" customWidth="1" min="24" max="24"/>
    <col width="18" customWidth="1" min="25" max="25"/>
    <col width="48" customWidth="1" min="26" max="26"/>
    <col width="24" customWidth="1" min="27" max="27"/>
    <col width="24" customWidth="1" min="28" max="28"/>
    <col width="24" customWidth="1" min="29" max="29"/>
    <col width="24" customWidth="1" min="30" max="30"/>
    <col width="15" customWidth="1" min="31" max="31"/>
    <col width="18" customWidth="1" min="32" max="32"/>
    <col width="12" customWidth="1" min="33" max="33"/>
    <col width="18" customWidth="1" min="34" max="34"/>
    <col width="13" customWidth="1" min="35" max="35"/>
    <col width="13" customWidth="1" min="36" max="36"/>
    <col width="12" customWidth="1" min="37" max="37"/>
    <col width="30" customWidth="1" min="38" max="38"/>
    <col width="48" customWidth="1" min="39" max="39"/>
  </cols>
  <sheetData>
    <row r="1">
      <c r="A1" s="8" t="inlineStr">
        <is>
          <t>Research Date</t>
        </is>
      </c>
      <c r="B1" s="8" t="inlineStr">
        <is>
          <t>Researcher</t>
        </is>
      </c>
      <c r="C1" s="8" t="inlineStr">
        <is>
          <t>Apartment Name</t>
        </is>
      </c>
      <c r="D1" s="8" t="inlineStr">
        <is>
          <t>City</t>
        </is>
      </c>
      <c r="E1" s="8" t="inlineStr">
        <is>
          <t>Address</t>
        </is>
      </c>
      <c r="F1" s="8" t="inlineStr">
        <is>
          <t>Property Type</t>
        </is>
      </c>
      <c r="G1" s="8" t="inlineStr">
        <is>
          <t>Unit/Floorplan</t>
        </is>
      </c>
      <c r="H1" s="8" t="inlineStr">
        <is>
          <t>Beds</t>
        </is>
      </c>
      <c r="I1" s="8" t="inlineStr">
        <is>
          <t>Baths</t>
        </is>
      </c>
      <c r="J1" s="8" t="inlineStr">
        <is>
          <t>Sq Ft</t>
        </is>
      </c>
      <c r="K1" s="8" t="inlineStr">
        <is>
          <t>Listed Rent</t>
        </is>
      </c>
      <c r="L1" s="8" t="inlineStr">
        <is>
          <t>Required Fees/mo</t>
        </is>
      </c>
      <c r="M1" s="8" t="inlineStr">
        <is>
          <t>Promo Raw</t>
        </is>
      </c>
      <c r="N1" s="8" t="inlineStr">
        <is>
          <t>Lease Term Mo</t>
        </is>
      </c>
      <c r="O1" s="8" t="inlineStr">
        <is>
          <t>Discount Est/mo</t>
        </is>
      </c>
      <c r="P1" s="8" t="inlineStr">
        <is>
          <t>Net Monthly Cost</t>
        </is>
      </c>
      <c r="Q1" s="8" t="inlineStr">
        <is>
          <t>Price/Sq Ft</t>
        </is>
      </c>
      <c r="R1" s="8" t="inlineStr">
        <is>
          <t>Availability Date</t>
        </is>
      </c>
      <c r="S1" s="8" t="inlineStr">
        <is>
          <t>Closest Station</t>
        </is>
      </c>
      <c r="T1" s="8" t="inlineStr">
        <is>
          <t>Walk Distance Mi</t>
        </is>
      </c>
      <c r="U1" s="8" t="inlineStr">
        <is>
          <t>Walk Time Min</t>
        </is>
      </c>
      <c r="V1" s="8" t="inlineStr">
        <is>
          <t>Shuttle</t>
        </is>
      </c>
      <c r="W1" s="8" t="inlineStr">
        <is>
          <t>Review Score</t>
        </is>
      </c>
      <c r="X1" s="8" t="inlineStr">
        <is>
          <t>Review Count</t>
        </is>
      </c>
      <c r="Y1" s="8" t="inlineStr">
        <is>
          <t>Review Source</t>
        </is>
      </c>
      <c r="Z1" s="8" t="inlineStr">
        <is>
          <t>Review Summary</t>
        </is>
      </c>
      <c r="AA1" s="8" t="inlineStr">
        <is>
          <t>Official URL</t>
        </is>
      </c>
      <c r="AB1" s="8" t="inlineStr">
        <is>
          <t>Listing URL</t>
        </is>
      </c>
      <c r="AC1" s="8" t="inlineStr">
        <is>
          <t>Transit URL</t>
        </is>
      </c>
      <c r="AD1" s="8" t="inlineStr">
        <is>
          <t>Review URL</t>
        </is>
      </c>
      <c r="AE1" s="8" t="inlineStr">
        <is>
          <t>Source Type</t>
        </is>
      </c>
      <c r="AF1" s="8" t="inlineStr">
        <is>
          <t>Verification Tier</t>
        </is>
      </c>
      <c r="AG1" s="8" t="inlineStr">
        <is>
          <t>Status</t>
        </is>
      </c>
      <c r="AH1" s="8" t="inlineStr">
        <is>
          <t>Last Verified At</t>
        </is>
      </c>
      <c r="AI1" s="8" t="inlineStr">
        <is>
          <t>Freshness Hours</t>
        </is>
      </c>
      <c r="AJ1" s="8" t="inlineStr">
        <is>
          <t>Priority Score</t>
        </is>
      </c>
      <c r="AK1" s="8" t="inlineStr">
        <is>
          <t>Duplicate Flag</t>
        </is>
      </c>
      <c r="AL1" s="8" t="inlineStr">
        <is>
          <t>Unique Key</t>
        </is>
      </c>
      <c r="AM1" s="8" t="inlineStr">
        <is>
          <t>Notes</t>
        </is>
      </c>
    </row>
    <row r="2">
      <c r="A2" s="9" t="n">
        <v>46098</v>
      </c>
      <c r="B2" s="5" t="inlineStr">
        <is>
          <t>Codex</t>
        </is>
      </c>
      <c r="C2" s="5" t="inlineStr">
        <is>
          <t>Palo Alto Place</t>
        </is>
      </c>
      <c r="D2" s="5" t="inlineStr">
        <is>
          <t>Palo Alto</t>
        </is>
      </c>
      <c r="E2" s="5" t="inlineStr">
        <is>
          <t>565 Arastradero Road, Palo Alto, CA 94306</t>
        </is>
      </c>
      <c r="F2" s="5" t="inlineStr">
        <is>
          <t>Apartment Community</t>
        </is>
      </c>
      <c r="G2" s="5" t="inlineStr">
        <is>
          <t>Plan C</t>
        </is>
      </c>
      <c r="H2" s="5" t="n">
        <v>2</v>
      </c>
      <c r="I2" s="5" t="n">
        <v>2</v>
      </c>
      <c r="J2" s="5" t="n">
        <v>1419</v>
      </c>
      <c r="K2" s="10" t="n">
        <v>5600</v>
      </c>
      <c r="L2" s="10" t="n">
        <v>0</v>
      </c>
      <c r="M2" s="14" t="inlineStr">
        <is>
          <t>2-Weeks free on unit 115; 1-Month free on all other units. Restrictions apply.</t>
        </is>
      </c>
      <c r="N2" s="5" t="n">
        <v>12</v>
      </c>
      <c r="O2" s="10" t="n">
        <v>466.67</v>
      </c>
      <c r="P2" s="15">
        <f>IF(K2="","",K2+IF(L2="",0,L2)-IF(O2="",0,O2))</f>
        <v/>
      </c>
      <c r="Q2" s="16">
        <f>IFERROR(P2/J2,"")</f>
        <v/>
      </c>
      <c r="R2" s="9" t="n">
        <v>46083</v>
      </c>
      <c r="S2" s="5" t="inlineStr">
        <is>
          <t>California Avenue</t>
        </is>
      </c>
      <c r="T2" s="17" t="n">
        <v>2.1</v>
      </c>
      <c r="U2" s="5" t="n">
        <v>46</v>
      </c>
      <c r="V2" s="5" t="inlineStr">
        <is>
          <t>No</t>
        </is>
      </c>
      <c r="W2" s="17" t="n">
        <v>3.5</v>
      </c>
      <c r="X2" s="12" t="n">
        <v>19</v>
      </c>
      <c r="Y2" s="5" t="inlineStr">
        <is>
          <t>Yelp via Yahoo Local</t>
        </is>
      </c>
      <c r="Z2" s="5" t="inlineStr">
        <is>
          <t>Residents praise spacious 2B/2B layouts and responsive maintenance, but repeated complaints mention package theft, break-ins, and inconsistent security follow-through.</t>
        </is>
      </c>
      <c r="AA2" s="5" t="inlineStr">
        <is>
          <t>https://www.paloaltoplace.com/floorplans</t>
        </is>
      </c>
      <c r="AB2" s="5" t="inlineStr">
        <is>
          <t>https://www.apartments.com/565-arastradero-rd-palo-alto-ca-unit-fl3-id275/ggs555x/</t>
        </is>
      </c>
      <c r="AC2" s="5" t="inlineStr">
        <is>
          <t>https://www.apartments.com/565-arastradero-rd-palo-alto-ca-unit-fl3-id275/ggs555x/</t>
        </is>
      </c>
      <c r="AD2" s="5" t="inlineStr">
        <is>
          <t>https://local.yahoo.com/info-198657723-palo-alto-place-palo-alto/</t>
        </is>
      </c>
      <c r="AE2" s="5" t="inlineStr">
        <is>
          <t>PDF_CURATED</t>
        </is>
      </c>
      <c r="AF2" s="5" t="inlineStr">
        <is>
          <t>T1_OFFICIAL</t>
        </is>
      </c>
      <c r="AG2" s="5" t="inlineStr">
        <is>
          <t>REJECTED</t>
        </is>
      </c>
      <c r="AH2" s="18" t="n">
        <v>46098.73611111111</v>
      </c>
      <c r="AI2" s="16">
        <f>IF(AH2="","",(NOW()-AH2)*24)</f>
        <v/>
      </c>
      <c r="AJ2" s="16">
        <f>IF(C2="","",IF(AG2="REJECTED",-1,ROUND((MAX(0,MIN(1,(Controls!$B$3-P2)/MAX(1,Controls!$B$3-Controls!$B$2)))*Controls!$B$6+IF(U2="",IF(V2="Yes",0.6,0),MAX(0,MIN(1,(Controls!$B$4-U2)/MAX(1,Controls!$B$4))))*Controls!$B$7+IF(W2="",0,MAX(0,MIN(1,(W2-Controls!$B$5)/MAX(0.1,5-Controls!$B$5))))*Controls!$B$8+IF(J2="",0,MIN(1,J2/1100))*Controls!$B$9+IF(AI2="",0,MAX(0,MIN(1,(Controls!$B$11-AI2)/MAX(1,Controls!$B$11))))*Controls!$B$10)/SUM(Controls!$B$6:Controls!$B$10)*100,2)))</f>
        <v/>
      </c>
      <c r="AK2" s="19">
        <f>IF(AL2="","",IF(COUNTIF($AL:$AL,AL2)&gt;1,"CHECK",""))</f>
        <v/>
      </c>
      <c r="AL2" s="19">
        <f>IF(OR(C2="",J2="",K2=""),"",LOWER(TRIM(C2))&amp;"|"&amp;TEXT(J2,"0")&amp;"|"&amp;TEXT(K2,"0.00"))</f>
        <v/>
      </c>
      <c r="AM2" s="14" t="inlineStr">
        <is>
          <t>Transit timing is inferred from the 2.1-mile commuter-rail distance cited by Apartments.com. Official site verifies the floorplan, price, address, and concession.</t>
        </is>
      </c>
    </row>
    <row r="3">
      <c r="A3" s="9" t="n">
        <v>46098</v>
      </c>
      <c r="B3" s="5" t="inlineStr">
        <is>
          <t>Codex</t>
        </is>
      </c>
      <c r="C3" s="5" t="inlineStr">
        <is>
          <t>Sevens</t>
        </is>
      </c>
      <c r="D3" s="5" t="inlineStr">
        <is>
          <t>Mountain View</t>
        </is>
      </c>
      <c r="E3" s="5" t="inlineStr">
        <is>
          <t>777 W. Middlefield Rd, Mountain View, CA 94043</t>
        </is>
      </c>
      <c r="F3" s="5" t="inlineStr">
        <is>
          <t>Apartment Community</t>
        </is>
      </c>
      <c r="G3" s="5" t="inlineStr">
        <is>
          <t>B2</t>
        </is>
      </c>
      <c r="H3" s="5" t="n">
        <v>2</v>
      </c>
      <c r="I3" s="5" t="n">
        <v>2</v>
      </c>
      <c r="J3" s="5" t="n">
        <v>1020</v>
      </c>
      <c r="K3" s="10" t="n">
        <v>5703</v>
      </c>
      <c r="L3" s="10" t="n">
        <v>29.88</v>
      </c>
      <c r="M3" s="14" t="inlineStr">
        <is>
          <t>Up to 8 Weeks Free Base Rent. Minimum lease term applies.</t>
        </is>
      </c>
      <c r="N3" s="5" t="n">
        <v>15</v>
      </c>
      <c r="O3" s="10" t="n">
        <v>760.4</v>
      </c>
      <c r="P3" s="15">
        <f>IF(K3="","",K3+IF(L3="",0,L3)-IF(O3="",0,O3))</f>
        <v/>
      </c>
      <c r="Q3" s="16">
        <f>IFERROR(P3/J3,"")</f>
        <v/>
      </c>
      <c r="R3" s="5" t="inlineStr">
        <is>
          <t>Available now</t>
        </is>
      </c>
      <c r="S3" s="5" t="inlineStr">
        <is>
          <t>Mountain View</t>
        </is>
      </c>
      <c r="T3" s="17" t="inlineStr"/>
      <c r="U3" s="5" t="n">
        <v>15</v>
      </c>
      <c r="V3" s="5" t="inlineStr">
        <is>
          <t>No</t>
        </is>
      </c>
      <c r="W3" s="17" t="n">
        <v>4</v>
      </c>
      <c r="X3" s="12" t="n">
        <v>5</v>
      </c>
      <c r="Y3" s="5" t="inlineStr">
        <is>
          <t>Yelp via MapQuest</t>
        </is>
      </c>
      <c r="Z3" s="5" t="inlineStr">
        <is>
          <t>Early residents praise the brand-new amenities and service, but the review base is still small and includes at least one complaint about dismissive maintenance handling.</t>
        </is>
      </c>
      <c r="AA3" s="5" t="inlineStr">
        <is>
          <t>https://sevensmv.com/floorplans/b2/</t>
        </is>
      </c>
      <c r="AB3" s="5" t="inlineStr">
        <is>
          <t>https://www.zillow.com/apartments/mountain-view-ca/sevens/5XjLXT/</t>
        </is>
      </c>
      <c r="AC3" s="5" t="inlineStr">
        <is>
          <t>https://sevensmv.com/p/transportation/</t>
        </is>
      </c>
      <c r="AD3" s="5" t="inlineStr">
        <is>
          <t>https://www.mapquest.com/us/california/sevens-770418551</t>
        </is>
      </c>
      <c r="AE3" s="5" t="inlineStr">
        <is>
          <t>PDF_CURATED</t>
        </is>
      </c>
      <c r="AF3" s="5" t="inlineStr">
        <is>
          <t>T1_OFFICIAL</t>
        </is>
      </c>
      <c r="AG3" s="5" t="inlineStr">
        <is>
          <t>VERIFIED</t>
        </is>
      </c>
      <c r="AH3" s="18" t="n">
        <v>46098.73819444444</v>
      </c>
      <c r="AI3" s="16">
        <f>IF(AH3="","",(NOW()-AH3)*24)</f>
        <v/>
      </c>
      <c r="AJ3" s="16">
        <f>IF(C3="","",IF(AG3="REJECTED",-1,ROUND((MAX(0,MIN(1,(Controls!$B$3-P3)/MAX(1,Controls!$B$3-Controls!$B$2)))*Controls!$B$6+IF(U3="",IF(V3="Yes",0.6,0),MAX(0,MIN(1,(Controls!$B$4-U3)/MAX(1,Controls!$B$4))))*Controls!$B$7+IF(W3="",0,MAX(0,MIN(1,(W3-Controls!$B$5)/MAX(0.1,5-Controls!$B$5))))*Controls!$B$8+IF(J3="",0,MIN(1,J3/1100))*Controls!$B$9+IF(AI3="",0,MAX(0,MIN(1,(Controls!$B$11-AI3)/MAX(1,Controls!$B$11))))*Controls!$B$10)/SUM(Controls!$B$6:Controls!$B$10)*100,2)))</f>
        <v/>
      </c>
      <c r="AK3" s="19">
        <f>IF(AL3="","",IF(COUNTIF($AL:$AL,AL3)&gt;1,"CHECK",""))</f>
        <v/>
      </c>
      <c r="AL3" s="19">
        <f>IF(OR(C3="",J3="",K3=""),"",LOWER(TRIM(C3))&amp;"|"&amp;TEXT(J3,"0")&amp;"|"&amp;TEXT(K3,"0.00"))</f>
        <v/>
      </c>
      <c r="AM3" s="14" t="inlineStr">
        <is>
          <t>Official pages conflict on Caltrain access: the amenities page markets Mountain View Caltrain as a 15-minute walk, while the transportation page lists Mountain View Station at 1.5 miles and 5 minutes by drive.</t>
        </is>
      </c>
    </row>
    <row r="4">
      <c r="A4" s="9" t="n">
        <v>46098</v>
      </c>
      <c r="B4" s="5" t="inlineStr">
        <is>
          <t>Codex</t>
        </is>
      </c>
      <c r="C4" s="5" t="inlineStr">
        <is>
          <t>Landsby</t>
        </is>
      </c>
      <c r="D4" s="5" t="inlineStr">
        <is>
          <t>Mountain View</t>
        </is>
      </c>
      <c r="E4" s="5" t="inlineStr">
        <is>
          <t>100 Aspen Way, Mountain View, CA 94040</t>
        </is>
      </c>
      <c r="F4" s="5" t="inlineStr">
        <is>
          <t>Apartment Community</t>
        </is>
      </c>
      <c r="G4" s="5" t="inlineStr">
        <is>
          <t>2A.1</t>
        </is>
      </c>
      <c r="H4" s="5" t="n">
        <v>2</v>
      </c>
      <c r="I4" s="5" t="n">
        <v>2</v>
      </c>
      <c r="J4" s="5" t="n">
        <v>1046</v>
      </c>
      <c r="K4" s="10" t="n">
        <v>5373</v>
      </c>
      <c r="L4" s="10" t="n">
        <v>114.5</v>
      </c>
      <c r="M4" s="14" t="inlineStr">
        <is>
          <t>4 WEEKS FREE. Limited time offer on all homes for immediate move-ins.</t>
        </is>
      </c>
      <c r="N4" s="5" t="n">
        <v>14</v>
      </c>
      <c r="O4" s="10" t="n">
        <v>383.79</v>
      </c>
      <c r="P4" s="15">
        <f>IF(K4="","",K4+IF(L4="",0,L4)-IF(O4="",0,O4))</f>
        <v/>
      </c>
      <c r="Q4" s="16">
        <f>IFERROR(P4/J4,"")</f>
        <v/>
      </c>
      <c r="R4" s="5" t="inlineStr">
        <is>
          <t>Available now</t>
        </is>
      </c>
      <c r="S4" s="5" t="inlineStr">
        <is>
          <t>San Antonio</t>
        </is>
      </c>
      <c r="T4" s="17" t="n">
        <v>0.4</v>
      </c>
      <c r="U4" s="5" t="n">
        <v>6</v>
      </c>
      <c r="V4" s="5" t="inlineStr">
        <is>
          <t>No</t>
        </is>
      </c>
      <c r="W4" s="17" t="n">
        <v>4.1</v>
      </c>
      <c r="X4" s="12" t="n">
        <v>135</v>
      </c>
      <c r="Y4" s="5" t="inlineStr">
        <is>
          <t>Google via Chamber of Commerce mirror</t>
        </is>
      </c>
      <c r="Z4" s="5" t="inlineStr">
        <is>
          <t>Amenity and layout feedback is strong, but recurring negative themes include package theft, elevator outages, WhiteSky internet issues, parking scarcity, and management responsiveness.</t>
        </is>
      </c>
      <c r="AA4" s="5" t="inlineStr">
        <is>
          <t>https://livelandsby.com/floorplans/2a-1/</t>
        </is>
      </c>
      <c r="AB4" s="5" t="inlineStr">
        <is>
          <t>https://www.zillow.com/apartments/mountain-view-ca/landsby/C5XT45/</t>
        </is>
      </c>
      <c r="AC4" s="5" t="inlineStr">
        <is>
          <t>https://www.apartments.com/100-aspen-way-mountain-view-ca-unit-id1313476p/84pmqh2/</t>
        </is>
      </c>
      <c r="AD4" s="5" t="inlineStr">
        <is>
          <t>https://www.chamberofcommerce.com/business-directory/california/mountain-view/apartment-rental-agency/2024000090-landsby</t>
        </is>
      </c>
      <c r="AE4" s="5" t="inlineStr">
        <is>
          <t>PDF_CURATED</t>
        </is>
      </c>
      <c r="AF4" s="5" t="inlineStr">
        <is>
          <t>T1_OFFICIAL</t>
        </is>
      </c>
      <c r="AG4" s="5" t="inlineStr">
        <is>
          <t>VERIFIED</t>
        </is>
      </c>
      <c r="AH4" s="18" t="n">
        <v>46098.74027777778</v>
      </c>
      <c r="AI4" s="16">
        <f>IF(AH4="","",(NOW()-AH4)*24)</f>
        <v/>
      </c>
      <c r="AJ4" s="16">
        <f>IF(C4="","",IF(AG4="REJECTED",-1,ROUND((MAX(0,MIN(1,(Controls!$B$3-P4)/MAX(1,Controls!$B$3-Controls!$B$2)))*Controls!$B$6+IF(U4="",IF(V4="Yes",0.6,0),MAX(0,MIN(1,(Controls!$B$4-U4)/MAX(1,Controls!$B$4))))*Controls!$B$7+IF(W4="",0,MAX(0,MIN(1,(W4-Controls!$B$5)/MAX(0.1,5-Controls!$B$5))))*Controls!$B$8+IF(J4="",0,MIN(1,J4/1100))*Controls!$B$9+IF(AI4="",0,MAX(0,MIN(1,(Controls!$B$11-AI4)/MAX(1,Controls!$B$11))))*Controls!$B$10)/SUM(Controls!$B$6:Controls!$B$10)*100,2)))</f>
        <v/>
      </c>
      <c r="AK4" s="19">
        <f>IF(AL4="","",IF(COUNTIF($AL:$AL,AL4)&gt;1,"CHECK",""))</f>
        <v/>
      </c>
      <c r="AL4" s="19">
        <f>IF(OR(C4="",J4="",K4=""),"",LOWER(TRIM(C4))&amp;"|"&amp;TEXT(J4,"0")&amp;"|"&amp;TEXT(K4,"0.00"))</f>
        <v/>
      </c>
      <c r="AM4" s="14" t="inlineStr">
        <is>
          <t>The official leasing site uses 100 Aspen Way. Older directories and the PDF still reference 2580-2590 California St for the same community.</t>
        </is>
      </c>
    </row>
    <row r="5">
      <c r="A5" s="9" t="n">
        <v>46098</v>
      </c>
      <c r="B5" s="5" t="inlineStr">
        <is>
          <t>Codex</t>
        </is>
      </c>
      <c r="C5" s="5" t="inlineStr">
        <is>
          <t>Sofi Sunnyvale</t>
        </is>
      </c>
      <c r="D5" s="5" t="inlineStr">
        <is>
          <t>Sunnyvale</t>
        </is>
      </c>
      <c r="E5" s="5" t="inlineStr">
        <is>
          <t>963 E El Camino Real, Sunnyvale, CA 94087</t>
        </is>
      </c>
      <c r="F5" s="5" t="inlineStr">
        <is>
          <t>Apartment Community</t>
        </is>
      </c>
      <c r="G5" s="5" t="inlineStr">
        <is>
          <t>2B2B</t>
        </is>
      </c>
      <c r="H5" s="5" t="n">
        <v>2</v>
      </c>
      <c r="I5" s="5" t="n">
        <v>2</v>
      </c>
      <c r="J5" s="5" t="n">
        <v>950</v>
      </c>
      <c r="K5" s="10" t="n">
        <v>3499</v>
      </c>
      <c r="L5" s="10" t="n">
        <v>0</v>
      </c>
      <c r="M5" s="14" t="inlineStr">
        <is>
          <t>Receive up to one month free. Ask about the 30-Day Move-In Satisfaction Guarantee and Renter's Assurance Programs.</t>
        </is>
      </c>
      <c r="N5" s="5" t="n">
        <v>12</v>
      </c>
      <c r="O5" s="10" t="n">
        <v>291.58</v>
      </c>
      <c r="P5" s="15">
        <f>IF(K5="","",K5+IF(L5="",0,L5)-IF(O5="",0,O5))</f>
        <v/>
      </c>
      <c r="Q5" s="16">
        <f>IFERROR(P5/J5,"")</f>
        <v/>
      </c>
      <c r="R5" s="5" t="inlineStr">
        <is>
          <t>Available now</t>
        </is>
      </c>
      <c r="S5" s="5" t="inlineStr">
        <is>
          <t>Lawrence</t>
        </is>
      </c>
      <c r="T5" s="17" t="n">
        <v>2.7</v>
      </c>
      <c r="U5" s="5" t="inlineStr"/>
      <c r="V5" s="5" t="inlineStr">
        <is>
          <t>No</t>
        </is>
      </c>
      <c r="W5" s="17" t="n">
        <v>4</v>
      </c>
      <c r="X5" s="12" t="n">
        <v>143</v>
      </c>
      <c r="Y5" s="5" t="inlineStr">
        <is>
          <t>Google via Birdeye</t>
        </is>
      </c>
      <c r="Z5" s="5" t="inlineStr">
        <is>
          <t>Many residents praise maintenance quality and a quiet community feel, while negative reviews repeatedly cite lease-management issues, price increases, and weaker value relative to amenities.</t>
        </is>
      </c>
      <c r="AA5" s="5" t="inlineStr">
        <is>
          <t>https://www.sofisunnyvale.com/apartments/ca/sunnyvale/floor-plans</t>
        </is>
      </c>
      <c r="AB5" s="5" t="inlineStr">
        <is>
          <t>https://beta.realtor.com/rentals/details/963-E-El-Camino-Real_Sunnyvale_CA_94087_M28786-22693</t>
        </is>
      </c>
      <c r="AC5" s="5" t="inlineStr">
        <is>
          <t>https://www.apartments.com/es/sofi-sunnyvale-sunnyvale-ca/b8tbme9/</t>
        </is>
      </c>
      <c r="AD5" s="5" t="inlineStr">
        <is>
          <t>https://reviews.birdeye.com/sofi-sunnyvale-156747909473053</t>
        </is>
      </c>
      <c r="AE5" s="5" t="inlineStr">
        <is>
          <t>PDF_CURATED</t>
        </is>
      </c>
      <c r="AF5" s="5" t="inlineStr">
        <is>
          <t>T2_MAJOR_LISTING</t>
        </is>
      </c>
      <c r="AG5" s="5" t="inlineStr">
        <is>
          <t>WATCHLIST</t>
        </is>
      </c>
      <c r="AH5" s="18" t="n">
        <v>46098.74236111111</v>
      </c>
      <c r="AI5" s="16">
        <f>IF(AH5="","",(NOW()-AH5)*24)</f>
        <v/>
      </c>
      <c r="AJ5" s="16">
        <f>IF(C5="","",IF(AG5="REJECTED",-1,ROUND((MAX(0,MIN(1,(Controls!$B$3-P5)/MAX(1,Controls!$B$3-Controls!$B$2)))*Controls!$B$6+IF(U5="",IF(V5="Yes",0.6,0),MAX(0,MIN(1,(Controls!$B$4-U5)/MAX(1,Controls!$B$4))))*Controls!$B$7+IF(W5="",0,MAX(0,MIN(1,(W5-Controls!$B$5)/MAX(0.1,5-Controls!$B$5))))*Controls!$B$8+IF(J5="",0,MIN(1,J5/1100))*Controls!$B$9+IF(AI5="",0,MAX(0,MIN(1,(Controls!$B$11-AI5)/MAX(1,Controls!$B$11))))*Controls!$B$10)/SUM(Controls!$B$6:Controls!$B$10)*100,2)))</f>
        <v/>
      </c>
      <c r="AK5" s="19">
        <f>IF(AL5="","",IF(COUNTIF($AL:$AL,AL5)&gt;1,"CHECK",""))</f>
        <v/>
      </c>
      <c r="AL5" s="19">
        <f>IF(OR(C5="",J5="",K5=""),"",LOWER(TRIM(C5))&amp;"|"&amp;TEXT(J5,"0")&amp;"|"&amp;TEXT(K5,"0.00"))</f>
        <v/>
      </c>
      <c r="AM5" s="14" t="inlineStr">
        <is>
          <t>The official leasing pages confirm one- and two-bedroom inventory but did not expose live 2B pricing in the crawled page. The listed rent comes from a third-party listing and should be confirmed directly with the leasing flow.</t>
        </is>
      </c>
    </row>
  </sheetData>
  <autoFilter ref="A1:AM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20" customWidth="1" min="4" max="4"/>
    <col width="28" customWidth="1" min="5" max="5"/>
    <col width="64" customWidth="1" min="6" max="6"/>
    <col width="42" customWidth="1" min="7" max="7"/>
  </cols>
  <sheetData>
    <row r="1">
      <c r="A1" s="8" t="inlineStr">
        <is>
          <t>Timestamp</t>
        </is>
      </c>
      <c r="B1" s="8" t="inlineStr">
        <is>
          <t>Action</t>
        </is>
      </c>
      <c r="C1" s="8" t="inlineStr">
        <is>
          <t>Sheet</t>
        </is>
      </c>
      <c r="D1" s="8" t="inlineStr">
        <is>
          <t>Property Name</t>
        </is>
      </c>
      <c r="E1" s="8" t="inlineStr">
        <is>
          <t>Unique Key</t>
        </is>
      </c>
      <c r="F1" s="8" t="inlineStr">
        <is>
          <t>Details</t>
        </is>
      </c>
      <c r="G1" s="8" t="inlineStr">
        <is>
          <t>Source URL</t>
        </is>
      </c>
    </row>
    <row r="2">
      <c r="A2" s="13" t="n">
        <v>46098.73263888889</v>
      </c>
      <c r="B2" s="5" t="inlineStr">
        <is>
          <t>SEED_SOURCE_LOADED</t>
        </is>
      </c>
      <c r="C2" s="5" t="inlineStr">
        <is>
          <t>Seed Sources</t>
        </is>
      </c>
      <c r="D2" s="5" t="inlineStr">
        <is>
          <t>Palo Alto Place</t>
        </is>
      </c>
      <c r="E2" s="5" t="inlineStr"/>
      <c r="F2" s="5" t="inlineStr">
        <is>
          <t>Loaded from curated PDF shortlist.</t>
        </is>
      </c>
      <c r="G2" s="5" t="inlineStr">
        <is>
          <t>/Users/qianli/Downloads/2BD_2BA_Apartment_Recommendations_Near_Palo_Alto.pdf</t>
        </is>
      </c>
    </row>
    <row r="3">
      <c r="A3" s="13" t="n">
        <v>46098.73263888889</v>
      </c>
      <c r="B3" s="5" t="inlineStr">
        <is>
          <t>SEED_SOURCE_LOADED</t>
        </is>
      </c>
      <c r="C3" s="5" t="inlineStr">
        <is>
          <t>Seed Sources</t>
        </is>
      </c>
      <c r="D3" s="5" t="inlineStr">
        <is>
          <t>Sevens</t>
        </is>
      </c>
      <c r="E3" s="5" t="inlineStr"/>
      <c r="F3" s="5" t="inlineStr">
        <is>
          <t>Loaded from curated PDF shortlist.</t>
        </is>
      </c>
      <c r="G3" s="5" t="inlineStr">
        <is>
          <t>/Users/qianli/Downloads/2BD_2BA_Apartment_Recommendations_Near_Palo_Alto.pdf</t>
        </is>
      </c>
    </row>
    <row r="4">
      <c r="A4" s="13" t="n">
        <v>46098.73263888889</v>
      </c>
      <c r="B4" s="5" t="inlineStr">
        <is>
          <t>SEED_SOURCE_LOADED</t>
        </is>
      </c>
      <c r="C4" s="5" t="inlineStr">
        <is>
          <t>Seed Sources</t>
        </is>
      </c>
      <c r="D4" s="5" t="inlineStr">
        <is>
          <t>Landsby</t>
        </is>
      </c>
      <c r="E4" s="5" t="inlineStr"/>
      <c r="F4" s="5" t="inlineStr">
        <is>
          <t>Loaded from curated PDF shortlist.</t>
        </is>
      </c>
      <c r="G4" s="5" t="inlineStr">
        <is>
          <t>/Users/qianli/Downloads/2BD_2BA_Apartment_Recommendations_Near_Palo_Alto.pdf</t>
        </is>
      </c>
    </row>
    <row r="5">
      <c r="A5" s="13" t="n">
        <v>46098.73263888889</v>
      </c>
      <c r="B5" s="5" t="inlineStr">
        <is>
          <t>SEED_SOURCE_LOADED</t>
        </is>
      </c>
      <c r="C5" s="5" t="inlineStr">
        <is>
          <t>Seed Sources</t>
        </is>
      </c>
      <c r="D5" s="5" t="inlineStr">
        <is>
          <t>Sofi Sunnyvale</t>
        </is>
      </c>
      <c r="E5" s="5" t="inlineStr"/>
      <c r="F5" s="5" t="inlineStr">
        <is>
          <t>Loaded from curated PDF shortlist.</t>
        </is>
      </c>
      <c r="G5" s="5" t="inlineStr">
        <is>
          <t>/Users/qianli/Downloads/2BD_2BA_Apartment_Recommendations_Near_Palo_Alto.pdf</t>
        </is>
      </c>
    </row>
    <row r="6">
      <c r="A6" s="13" t="n">
        <v>46098.73333333333</v>
      </c>
      <c r="B6" s="5" t="inlineStr">
        <is>
          <t>QUEUE_CREATED</t>
        </is>
      </c>
      <c r="C6" s="5" t="inlineStr">
        <is>
          <t>Search Queue</t>
        </is>
      </c>
      <c r="D6" s="5" t="inlineStr">
        <is>
          <t>Palo Alto Place</t>
        </is>
      </c>
      <c r="E6" s="5" t="inlineStr"/>
      <c r="F6" s="5" t="inlineStr">
        <is>
          <t>Created P1 verification task.</t>
        </is>
      </c>
      <c r="G6" s="5" t="inlineStr">
        <is>
          <t>https://www.paloaltoplace.com/floorplans</t>
        </is>
      </c>
    </row>
    <row r="7">
      <c r="A7" s="13" t="n">
        <v>46098.73333333333</v>
      </c>
      <c r="B7" s="5" t="inlineStr">
        <is>
          <t>QUEUE_CREATED</t>
        </is>
      </c>
      <c r="C7" s="5" t="inlineStr">
        <is>
          <t>Search Queue</t>
        </is>
      </c>
      <c r="D7" s="5" t="inlineStr">
        <is>
          <t>Sevens</t>
        </is>
      </c>
      <c r="E7" s="5" t="inlineStr"/>
      <c r="F7" s="5" t="inlineStr">
        <is>
          <t>Created P1 verification task.</t>
        </is>
      </c>
      <c r="G7" s="5" t="inlineStr">
        <is>
          <t>https://sevensmv.com/floorplans/b2/</t>
        </is>
      </c>
    </row>
    <row r="8">
      <c r="A8" s="13" t="n">
        <v>46098.73333333333</v>
      </c>
      <c r="B8" s="5" t="inlineStr">
        <is>
          <t>QUEUE_CREATED</t>
        </is>
      </c>
      <c r="C8" s="5" t="inlineStr">
        <is>
          <t>Search Queue</t>
        </is>
      </c>
      <c r="D8" s="5" t="inlineStr">
        <is>
          <t>Landsby</t>
        </is>
      </c>
      <c r="E8" s="5" t="inlineStr"/>
      <c r="F8" s="5" t="inlineStr">
        <is>
          <t>Created P1 verification task.</t>
        </is>
      </c>
      <c r="G8" s="5" t="inlineStr">
        <is>
          <t>https://livelandsby.com/floorplans/2a-1/</t>
        </is>
      </c>
    </row>
    <row r="9">
      <c r="A9" s="13" t="n">
        <v>46098.73333333333</v>
      </c>
      <c r="B9" s="5" t="inlineStr">
        <is>
          <t>QUEUE_CREATED</t>
        </is>
      </c>
      <c r="C9" s="5" t="inlineStr">
        <is>
          <t>Search Queue</t>
        </is>
      </c>
      <c r="D9" s="5" t="inlineStr">
        <is>
          <t>Sofi Sunnyvale</t>
        </is>
      </c>
      <c r="E9" s="5" t="inlineStr"/>
      <c r="F9" s="5" t="inlineStr">
        <is>
          <t>Created P1 verification task.</t>
        </is>
      </c>
      <c r="G9" s="5" t="inlineStr">
        <is>
          <t>https://www.sofisunnyvale.com/apartments/ca/sunnyvale/floor-plans</t>
        </is>
      </c>
    </row>
    <row r="10">
      <c r="A10" s="13" t="n">
        <v>46098.73611111111</v>
      </c>
      <c r="B10" s="5" t="inlineStr">
        <is>
          <t>CANDIDATE_UPSERT</t>
        </is>
      </c>
      <c r="C10" s="5" t="inlineStr">
        <is>
          <t>Candidates</t>
        </is>
      </c>
      <c r="D10" s="5" t="inlineStr">
        <is>
          <t>Palo Alto Place</t>
        </is>
      </c>
      <c r="E10" s="5" t="inlineStr">
        <is>
          <t>palo alto place|1419|5600.00</t>
        </is>
      </c>
      <c r="F10" s="5" t="inlineStr">
        <is>
          <t>Rejected for Caltrain walk threshold after verification.</t>
        </is>
      </c>
      <c r="G10" s="5" t="inlineStr">
        <is>
          <t>https://www.paloaltoplace.com/floorplans</t>
        </is>
      </c>
    </row>
    <row r="11">
      <c r="A11" s="13" t="n">
        <v>46098.73819444444</v>
      </c>
      <c r="B11" s="5" t="inlineStr">
        <is>
          <t>CANDIDATE_UPSERT</t>
        </is>
      </c>
      <c r="C11" s="5" t="inlineStr">
        <is>
          <t>Candidates</t>
        </is>
      </c>
      <c r="D11" s="5" t="inlineStr">
        <is>
          <t>Sevens</t>
        </is>
      </c>
      <c r="E11" s="5" t="inlineStr">
        <is>
          <t>sevens|1020|5703.00</t>
        </is>
      </c>
      <c r="F11" s="5" t="inlineStr">
        <is>
          <t>Verified from official floorplan page with transit discrepancy noted.</t>
        </is>
      </c>
      <c r="G11" s="5" t="inlineStr">
        <is>
          <t>https://sevensmv.com/floorplans/b2/</t>
        </is>
      </c>
    </row>
    <row r="12">
      <c r="A12" s="13" t="n">
        <v>46098.74027777778</v>
      </c>
      <c r="B12" s="5" t="inlineStr">
        <is>
          <t>CANDIDATE_UPSERT</t>
        </is>
      </c>
      <c r="C12" s="5" t="inlineStr">
        <is>
          <t>Candidates</t>
        </is>
      </c>
      <c r="D12" s="5" t="inlineStr">
        <is>
          <t>Landsby</t>
        </is>
      </c>
      <c r="E12" s="5" t="inlineStr">
        <is>
          <t>landsby|1046|5373.00</t>
        </is>
      </c>
      <c r="F12" s="5" t="inlineStr">
        <is>
          <t>Verified from official floorplan page; note official address update.</t>
        </is>
      </c>
      <c r="G12" s="5" t="inlineStr">
        <is>
          <t>https://livelandsby.com/floorplans/2a-1/</t>
        </is>
      </c>
    </row>
    <row r="13">
      <c r="A13" s="13" t="n">
        <v>46098.74236111111</v>
      </c>
      <c r="B13" s="5" t="inlineStr">
        <is>
          <t>CANDIDATE_UPSERT</t>
        </is>
      </c>
      <c r="C13" s="5" t="inlineStr">
        <is>
          <t>Candidates</t>
        </is>
      </c>
      <c r="D13" s="5" t="inlineStr">
        <is>
          <t>Sofi Sunnyvale</t>
        </is>
      </c>
      <c r="E13" s="5" t="inlineStr">
        <is>
          <t>sofi sunnyvale|950|3499.00</t>
        </is>
      </c>
      <c r="F13" s="5" t="inlineStr">
        <is>
          <t>Watchlist row created from official site plus third-party pricing while waiting for direct pricing confirmation.</t>
        </is>
      </c>
      <c r="G13" s="5" t="inlineStr">
        <is>
          <t>https://beta.realtor.com/rentals/details/963-E-El-Camino-Real_Sunnyvale_CA_94087_M28786-22693</t>
        </is>
      </c>
    </row>
  </sheetData>
  <autoFilter ref="A1:G1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</cols>
  <sheetData>
    <row r="1">
      <c r="A1" s="8" t="inlineStr">
        <is>
          <t>Field</t>
        </is>
      </c>
      <c r="B1" s="8" t="inlineStr">
        <is>
          <t>Value</t>
        </is>
      </c>
    </row>
    <row r="2">
      <c r="A2" s="5" t="inlineStr">
        <is>
          <t>Generated On</t>
        </is>
      </c>
      <c r="B2" s="5" t="inlineStr">
        <is>
          <t>2026-03-17 21:51</t>
        </is>
      </c>
    </row>
    <row r="3">
      <c r="A3" s="5" t="inlineStr">
        <is>
          <t>Input Data</t>
        </is>
      </c>
      <c r="B3" s="5" t="inlineStr">
        <is>
          <t>/Users/qianli/Documents/New project/data/initial_tracker_data.json</t>
        </is>
      </c>
    </row>
    <row r="4">
      <c r="A4" s="5" t="inlineStr">
        <is>
          <t>Output File</t>
        </is>
      </c>
      <c r="B4" s="5" t="inlineStr">
        <is>
          <t>/Users/qianli/Documents/New project/output/spreadsheet/South_Bay_2B2B_Apartment_Search.xlsx</t>
        </is>
      </c>
    </row>
    <row r="5">
      <c r="A5" s="5" t="inlineStr">
        <is>
          <t>Purpose</t>
        </is>
      </c>
      <c r="B5" s="5" t="inlineStr">
        <is>
          <t>Google-Sheets-ready tracker for South Bay 2B2B apartment search.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2026-03-18T04:51:28Z</dcterms:created>
  <dcterms:modified xsi:type="dcterms:W3CDTF">2026-03-18T04:51:28Z</dcterms:modified>
</cp:coreProperties>
</file>